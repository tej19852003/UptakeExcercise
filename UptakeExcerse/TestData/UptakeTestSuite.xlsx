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v\UptakeExcerse\TestData\"/>
    </mc:Choice>
  </mc:AlternateContent>
  <bookViews>
    <workbookView xWindow="0" yWindow="0" windowWidth="23040" windowHeight="9100" tabRatio="918" activeTab="5" xr2:uid="{00000000-000D-0000-FFFF-FFFF00000000}"/>
  </bookViews>
  <sheets>
    <sheet name="Execution Summary" sheetId="11" r:id="rId1"/>
    <sheet name="Environment" sheetId="1" r:id="rId2"/>
    <sheet name="Browser" sheetId="2" r:id="rId3"/>
    <sheet name="Module" sheetId="3" r:id="rId4"/>
    <sheet name="HomePage" sheetId="4" r:id="rId5"/>
    <sheet name="JobApplication" sheetId="12" r:id="rId6"/>
  </sheets>
  <definedNames>
    <definedName name="_xlnm._FilterDatabase" localSheetId="4" hidden="1">HomePage!$A$1:$H$5</definedName>
    <definedName name="_xlnm._FilterDatabase" localSheetId="3" hidden="1">Module!$A$1:$D$4</definedName>
  </definedNames>
  <calcPr calcId="171027"/>
  <fileRecoveryPr autoRecover="0"/>
</workbook>
</file>

<file path=xl/calcChain.xml><?xml version="1.0" encoding="utf-8"?>
<calcChain xmlns="http://schemas.openxmlformats.org/spreadsheetml/2006/main">
  <c r="G13" i="11" l="1"/>
  <c r="D13" i="11" s="1"/>
  <c r="F13" i="11"/>
  <c r="E13" i="11"/>
  <c r="B13" i="11"/>
  <c r="C13" i="11" l="1"/>
  <c r="H13" i="11" s="1"/>
  <c r="G10" i="11"/>
  <c r="D10" i="11" s="1"/>
  <c r="F10" i="11"/>
  <c r="E10" i="11"/>
  <c r="B10" i="11"/>
  <c r="I13" i="11" l="1"/>
  <c r="C10" i="11"/>
  <c r="H10" i="11" s="1"/>
  <c r="G12" i="11"/>
  <c r="D12" i="11" s="1"/>
  <c r="F12" i="11"/>
  <c r="E12" i="11"/>
  <c r="B12" i="11"/>
  <c r="I10" i="11" l="1"/>
  <c r="C12" i="11"/>
  <c r="I12" i="11" s="1"/>
  <c r="G9" i="11"/>
  <c r="D9" i="11" s="1"/>
  <c r="F9" i="11"/>
  <c r="E9" i="11"/>
  <c r="B9" i="11"/>
  <c r="H12" i="11" l="1"/>
  <c r="C9" i="11"/>
  <c r="H9" i="11" s="1"/>
  <c r="B3" i="11"/>
  <c r="E3" i="11"/>
  <c r="F3" i="11"/>
  <c r="G3" i="11"/>
  <c r="D3" i="11" s="1"/>
  <c r="B4" i="11"/>
  <c r="E4" i="11"/>
  <c r="F4" i="11"/>
  <c r="G4" i="11"/>
  <c r="D4" i="11" s="1"/>
  <c r="B5" i="11"/>
  <c r="E5" i="11"/>
  <c r="F5" i="11"/>
  <c r="G5" i="11"/>
  <c r="D5" i="11" s="1"/>
  <c r="B6" i="11"/>
  <c r="E6" i="11"/>
  <c r="F6" i="11"/>
  <c r="G6" i="11"/>
  <c r="D6" i="11" s="1"/>
  <c r="B7" i="11"/>
  <c r="E7" i="11"/>
  <c r="F7" i="11"/>
  <c r="G7" i="11"/>
  <c r="D7" i="11" s="1"/>
  <c r="B8" i="11"/>
  <c r="E8" i="11"/>
  <c r="F8" i="11"/>
  <c r="G8" i="11"/>
  <c r="D8" i="11" s="1"/>
  <c r="B11" i="11"/>
  <c r="E11" i="11"/>
  <c r="F11" i="11"/>
  <c r="G11" i="11"/>
  <c r="D11" i="11" s="1"/>
  <c r="J14" i="11"/>
  <c r="C8" i="11" l="1"/>
  <c r="I8" i="11" s="1"/>
  <c r="C3" i="11"/>
  <c r="I3" i="11" s="1"/>
  <c r="I9" i="11"/>
  <c r="C7" i="11"/>
  <c r="I7" i="11" s="1"/>
  <c r="C6" i="11"/>
  <c r="I6" i="11" s="1"/>
  <c r="C5" i="11"/>
  <c r="H5" i="11" s="1"/>
  <c r="C4" i="11"/>
  <c r="H4" i="11" s="1"/>
  <c r="C11" i="11"/>
  <c r="I11" i="11" s="1"/>
  <c r="G14" i="11"/>
  <c r="F14" i="11"/>
  <c r="H8" i="11"/>
  <c r="B14" i="11"/>
  <c r="D14" i="11"/>
  <c r="E14" i="11"/>
  <c r="H3" i="11" l="1"/>
  <c r="H7" i="11"/>
  <c r="I4" i="11"/>
  <c r="I5" i="11"/>
  <c r="H6" i="11"/>
  <c r="C14" i="11"/>
  <c r="H14" i="11" s="1"/>
  <c r="H11" i="11"/>
  <c r="I14" i="11" l="1"/>
</calcChain>
</file>

<file path=xl/sharedStrings.xml><?xml version="1.0" encoding="utf-8"?>
<sst xmlns="http://schemas.openxmlformats.org/spreadsheetml/2006/main" count="127" uniqueCount="82">
  <si>
    <t>Environment</t>
  </si>
  <si>
    <t>URLs</t>
  </si>
  <si>
    <t>User Name</t>
  </si>
  <si>
    <t>Password</t>
  </si>
  <si>
    <t>Execution Flag</t>
  </si>
  <si>
    <t xml:space="preserve">HQ  </t>
  </si>
  <si>
    <t>N</t>
  </si>
  <si>
    <t>5.5US (QA)</t>
  </si>
  <si>
    <t>portal-stg.celltrak.net</t>
  </si>
  <si>
    <t>5.5 US (QA) Pro Site</t>
  </si>
  <si>
    <t>5.6 US (QA)</t>
  </si>
  <si>
    <t>qa56</t>
  </si>
  <si>
    <t>Dev1234@</t>
  </si>
  <si>
    <t>5.7 US (QA)</t>
  </si>
  <si>
    <t>Y</t>
  </si>
  <si>
    <t>Browser</t>
  </si>
  <si>
    <t>Execute</t>
  </si>
  <si>
    <t>Firefox</t>
  </si>
  <si>
    <t>Chrome</t>
  </si>
  <si>
    <t>IE</t>
  </si>
  <si>
    <t>Suite ID</t>
  </si>
  <si>
    <t>Description</t>
  </si>
  <si>
    <t>Module</t>
  </si>
  <si>
    <t>SU001</t>
  </si>
  <si>
    <t>Staff</t>
  </si>
  <si>
    <t>SU002</t>
  </si>
  <si>
    <t>Patients</t>
  </si>
  <si>
    <t>SU003</t>
  </si>
  <si>
    <t>Schedules</t>
  </si>
  <si>
    <t>RecordActivity</t>
  </si>
  <si>
    <t>Test Case ID</t>
  </si>
  <si>
    <t>Method Name</t>
  </si>
  <si>
    <t>Functional Flow</t>
  </si>
  <si>
    <t>Run</t>
  </si>
  <si>
    <t>Execution Status</t>
  </si>
  <si>
    <t>TestData</t>
  </si>
  <si>
    <t>MyNote</t>
  </si>
  <si>
    <t>Verify that staff list page will display by clicking on Staff link from Admin page</t>
  </si>
  <si>
    <t>1. Click on Staff 
2. Verify that Staff list page is displayed.</t>
  </si>
  <si>
    <t xml:space="preserve"> TEST EXECUTION SUMMARY</t>
  </si>
  <si>
    <t>TotalSelected</t>
  </si>
  <si>
    <t>Executed</t>
  </si>
  <si>
    <t>Not Executed</t>
  </si>
  <si>
    <t>Passed</t>
  </si>
  <si>
    <t>Failed</t>
  </si>
  <si>
    <t>Skipped</t>
  </si>
  <si>
    <t>%Executed</t>
  </si>
  <si>
    <t>% Passed</t>
  </si>
  <si>
    <t>Total</t>
  </si>
  <si>
    <t>TimeForExecution (h:mm:ss)</t>
  </si>
  <si>
    <t>PortalUsers</t>
  </si>
  <si>
    <t>DataCreation</t>
  </si>
  <si>
    <t>UserRoles</t>
  </si>
  <si>
    <t>qa57</t>
  </si>
  <si>
    <t>Dev1234#</t>
  </si>
  <si>
    <t>qa576</t>
  </si>
  <si>
    <t>5.7.6 US (QA)</t>
  </si>
  <si>
    <t>5.7.7 US (QA)</t>
  </si>
  <si>
    <t>qa5.7.7</t>
  </si>
  <si>
    <t>Dev1234!</t>
  </si>
  <si>
    <t>hq.ctidata.net/login</t>
  </si>
  <si>
    <t>ClosedActivities</t>
  </si>
  <si>
    <t>QA578</t>
  </si>
  <si>
    <t>5.7.8 US (QA)</t>
  </si>
  <si>
    <t>Database</t>
  </si>
  <si>
    <t>5.7.9 US (QA)</t>
  </si>
  <si>
    <t>QA579</t>
  </si>
  <si>
    <t>AMC</t>
  </si>
  <si>
    <t>Edge</t>
  </si>
  <si>
    <t>DeviceUpgrade</t>
  </si>
  <si>
    <t>OpenUptakeURL</t>
  </si>
  <si>
    <t>HomePage</t>
  </si>
  <si>
    <t>Home Page</t>
  </si>
  <si>
    <t>CloseApplication</t>
  </si>
  <si>
    <t>Close The application</t>
  </si>
  <si>
    <t>1.Click on Close Browser to close app</t>
  </si>
  <si>
    <t>Open Application By Providing URL
Verify Top right Menu Text</t>
  </si>
  <si>
    <t>1. Open URL on any browser. "https://www.uptake.com/"
2.Verify Top right menu text (PRODUCTS, INDUSTRIES, ABOUT, EXPERTISE, NEWS &amp; INSIGHTS, CAREER, CONTACT)</t>
  </si>
  <si>
    <t>VerifyHomePageElementsAndTextPresent</t>
  </si>
  <si>
    <t>ContactUptakeForJob</t>
  </si>
  <si>
    <t>JobApplication</t>
  </si>
  <si>
    <t>LocateAllJobOpeningAndClickLink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</si>
</sst>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hh:mm:ss;"/>
  </numFmts>
  <fonts count="19" x14ac:knownFonts="1">
    <font>
      <sz val="11"/>
      <color indexed="8"/>
      <name val="Calibri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10"/>
      <color indexed="9"/>
      <name val="Calibri"/>
      <family val="2"/>
    </font>
    <font>
      <sz val="11"/>
      <color indexed="8"/>
      <name val="Calibri"/>
      <family val="2"/>
    </font>
    <font>
      <sz val="10"/>
      <color indexed="8"/>
      <name val="Verdana"/>
      <family val="2"/>
    </font>
    <font>
      <sz val="11"/>
      <color indexed="8"/>
      <name val="Calibri"/>
    </font>
    <font>
      <sz val="10"/>
      <name val="Arial"/>
      <family val="2"/>
    </font>
    <font>
      <b/>
      <sz val="18"/>
      <name val="Arial"/>
      <family val="2"/>
    </font>
    <font>
      <sz val="11"/>
      <color indexed="8"/>
      <name val="Calibri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sz val="14"/>
      <name val="Arial"/>
      <family val="2"/>
    </font>
    <font>
      <sz val="14"/>
      <color indexed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color indexed="9"/>
      <name val="Calibri"/>
      <family val="2"/>
    </font>
    <font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2" fillId="4" borderId="2" xfId="0" applyFont="1" applyFill="1" applyBorder="1" applyAlignment="1">
      <alignment horizontal="left" vertical="center"/>
    </xf>
    <xf numFmtId="0" fontId="3" fillId="0" borderId="0" xfId="0" applyFont="1" applyBorder="1" applyAlignment="1"/>
    <xf numFmtId="0" fontId="3" fillId="0" borderId="2" xfId="0" applyFont="1" applyBorder="1" applyAlignment="1">
      <alignment horizontal="left" vertical="center" wrapText="1"/>
    </xf>
    <xf numFmtId="0" fontId="3" fillId="0" borderId="0" xfId="0" applyFont="1" applyFill="1" applyBorder="1"/>
    <xf numFmtId="0" fontId="3" fillId="0" borderId="0" xfId="0" applyFont="1" applyFill="1" applyBorder="1" applyAlignment="1"/>
    <xf numFmtId="49" fontId="4" fillId="4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/>
    <xf numFmtId="0" fontId="8" fillId="0" borderId="0" xfId="0" applyFont="1"/>
    <xf numFmtId="0" fontId="10" fillId="0" borderId="0" xfId="0" applyFont="1" applyAlignment="1"/>
    <xf numFmtId="0" fontId="11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164" fontId="13" fillId="0" borderId="2" xfId="0" applyNumberFormat="1" applyFont="1" applyFill="1" applyBorder="1" applyAlignment="1">
      <alignment horizontal="center" wrapText="1"/>
    </xf>
    <xf numFmtId="164" fontId="13" fillId="0" borderId="10" xfId="0" applyNumberFormat="1" applyFont="1" applyFill="1" applyBorder="1" applyAlignment="1">
      <alignment horizontal="center" wrapText="1"/>
    </xf>
    <xf numFmtId="21" fontId="14" fillId="0" borderId="2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21" fontId="14" fillId="0" borderId="13" xfId="0" applyNumberFormat="1" applyFont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10" fontId="15" fillId="5" borderId="9" xfId="0" applyNumberFormat="1" applyFont="1" applyFill="1" applyBorder="1" applyAlignment="1">
      <alignment horizontal="center" vertical="center"/>
    </xf>
    <xf numFmtId="10" fontId="15" fillId="5" borderId="11" xfId="0" applyNumberFormat="1" applyFont="1" applyFill="1" applyBorder="1" applyAlignment="1">
      <alignment horizontal="center" vertical="center"/>
    </xf>
    <xf numFmtId="165" fontId="15" fillId="5" borderId="8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wrapText="1"/>
    </xf>
    <xf numFmtId="0" fontId="18" fillId="0" borderId="0" xfId="0" applyFont="1" applyAlignment="1"/>
    <xf numFmtId="0" fontId="17" fillId="4" borderId="2" xfId="0" applyFont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49" fontId="18" fillId="0" borderId="2" xfId="0" applyNumberFormat="1" applyFont="1" applyBorder="1" applyAlignment="1">
      <alignment horizontal="center"/>
    </xf>
    <xf numFmtId="49" fontId="18" fillId="0" borderId="2" xfId="0" applyNumberFormat="1" applyFont="1" applyBorder="1" applyAlignment="1">
      <alignment horizontal="center" vertical="top"/>
    </xf>
    <xf numFmtId="0" fontId="18" fillId="0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0" fillId="0" borderId="2" xfId="0" applyFont="1" applyBorder="1" applyAlignment="1">
      <alignment horizontal="center" wrapText="1"/>
    </xf>
    <xf numFmtId="49" fontId="0" fillId="0" borderId="2" xfId="0" applyNumberFormat="1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49" fontId="4" fillId="4" borderId="1" xfId="0" applyNumberFormat="1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49" fontId="0" fillId="0" borderId="1" xfId="0" applyNumberFormat="1" applyFont="1" applyBorder="1" applyAlignment="1">
      <alignment horizontal="center" vertical="top" wrapText="1"/>
    </xf>
    <xf numFmtId="0" fontId="0" fillId="0" borderId="2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wrapText="1"/>
    </xf>
  </cellXfs>
  <cellStyles count="1">
    <cellStyle name="Normal" xfId="0" builtinId="0"/>
  </cellStyles>
  <dxfs count="1">
    <dxf>
      <fill>
        <patternFill patternType="solid">
          <fgColor indexed="44"/>
          <bgColor indexed="44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hq.ctidata.net/log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5"/>
  <sheetViews>
    <sheetView showGridLines="0" zoomScaleNormal="100" workbookViewId="0">
      <pane ySplit="2" topLeftCell="A3" activePane="bottomLeft" state="frozen"/>
      <selection pane="bottomLeft" activeCell="A4" sqref="A4:XFD4"/>
    </sheetView>
  </sheetViews>
  <sheetFormatPr defaultColWidth="8.7265625" defaultRowHeight="14.5" customHeight="1" x14ac:dyDescent="0.35"/>
  <cols>
    <col min="1" max="1" width="20.7265625" style="9" bestFit="1" customWidth="1"/>
    <col min="2" max="2" width="15.54296875" style="9" bestFit="1" customWidth="1"/>
    <col min="3" max="3" width="11" style="9" bestFit="1" customWidth="1"/>
    <col min="4" max="4" width="15.54296875" style="9" bestFit="1" customWidth="1"/>
    <col min="5" max="5" width="8.453125" style="9" bestFit="1" customWidth="1"/>
    <col min="6" max="6" width="7.81640625" style="9" bestFit="1" customWidth="1"/>
    <col min="7" max="7" width="10" style="9" bestFit="1" customWidth="1"/>
    <col min="8" max="8" width="13.453125" style="9" bestFit="1" customWidth="1"/>
    <col min="9" max="9" width="11.453125" style="9" bestFit="1" customWidth="1"/>
    <col min="10" max="10" width="23.81640625" style="9" customWidth="1"/>
    <col min="11" max="16384" width="8.7265625" style="9"/>
  </cols>
  <sheetData>
    <row r="1" spans="1:10" ht="23.5" thickBot="1" x14ac:dyDescent="0.55000000000000004">
      <c r="A1" s="44" t="s">
        <v>39</v>
      </c>
      <c r="B1" s="44"/>
      <c r="C1" s="44"/>
      <c r="D1" s="44"/>
      <c r="E1" s="44"/>
      <c r="F1" s="44"/>
      <c r="G1" s="44"/>
      <c r="H1" s="44"/>
      <c r="I1" s="44"/>
      <c r="J1" s="8"/>
    </row>
    <row r="2" spans="1:10" ht="35" x14ac:dyDescent="0.35">
      <c r="A2" s="10" t="s">
        <v>22</v>
      </c>
      <c r="B2" s="11" t="s">
        <v>40</v>
      </c>
      <c r="C2" s="11" t="s">
        <v>41</v>
      </c>
      <c r="D2" s="11" t="s">
        <v>42</v>
      </c>
      <c r="E2" s="11" t="s">
        <v>43</v>
      </c>
      <c r="F2" s="11" t="s">
        <v>44</v>
      </c>
      <c r="G2" s="11" t="s">
        <v>45</v>
      </c>
      <c r="H2" s="11" t="s">
        <v>46</v>
      </c>
      <c r="I2" s="12" t="s">
        <v>47</v>
      </c>
      <c r="J2" s="13" t="s">
        <v>49</v>
      </c>
    </row>
    <row r="3" spans="1:10" ht="17.5" x14ac:dyDescent="0.35">
      <c r="A3" s="14" t="s">
        <v>24</v>
      </c>
      <c r="B3" s="15">
        <f>COUNTIF(HomePage!E:E,"Y")</f>
        <v>4</v>
      </c>
      <c r="C3" s="15">
        <f t="shared" ref="C3:C11" si="0">SUM(E3:F3)</f>
        <v>0</v>
      </c>
      <c r="D3" s="15">
        <f t="shared" ref="D3:D11" si="1">G3</f>
        <v>0</v>
      </c>
      <c r="E3" s="15">
        <f>COUNTIF(HomePage!F:F,"Pass")</f>
        <v>0</v>
      </c>
      <c r="F3" s="15">
        <f>COUNTIF(HomePage!F:F,"Fail")</f>
        <v>0</v>
      </c>
      <c r="G3" s="15">
        <f>COUNTIF(HomePage!F:F,"Skip")</f>
        <v>0</v>
      </c>
      <c r="H3" s="16">
        <f t="shared" ref="H3:H11" si="2">C3/MAX(B3,1)</f>
        <v>0</v>
      </c>
      <c r="I3" s="17">
        <f t="shared" ref="I3:I14" si="3">E3/MAX(C3,1)</f>
        <v>0</v>
      </c>
      <c r="J3" s="18"/>
    </row>
    <row r="4" spans="1:10" ht="17.5" x14ac:dyDescent="0.35">
      <c r="A4" s="14" t="s">
        <v>26</v>
      </c>
      <c r="B4" s="15" t="e">
        <f>COUNTIF(#REF!,"Y")</f>
        <v>#REF!</v>
      </c>
      <c r="C4" s="15" t="e">
        <f t="shared" si="0"/>
        <v>#REF!</v>
      </c>
      <c r="D4" s="15" t="e">
        <f t="shared" si="1"/>
        <v>#REF!</v>
      </c>
      <c r="E4" s="15" t="e">
        <f>COUNTIF(#REF!,"Pass")</f>
        <v>#REF!</v>
      </c>
      <c r="F4" s="15" t="e">
        <f>COUNTIF(#REF!,"Fail")</f>
        <v>#REF!</v>
      </c>
      <c r="G4" s="15" t="e">
        <f>COUNTIF(#REF!,"Skip")</f>
        <v>#REF!</v>
      </c>
      <c r="H4" s="16" t="e">
        <f t="shared" si="2"/>
        <v>#REF!</v>
      </c>
      <c r="I4" s="17" t="e">
        <f t="shared" si="3"/>
        <v>#REF!</v>
      </c>
      <c r="J4" s="18"/>
    </row>
    <row r="5" spans="1:10" ht="17.5" x14ac:dyDescent="0.35">
      <c r="A5" s="14" t="s">
        <v>29</v>
      </c>
      <c r="B5" s="15" t="e">
        <f>COUNTIF(#REF!,"Y")</f>
        <v>#REF!</v>
      </c>
      <c r="C5" s="15" t="e">
        <f t="shared" si="0"/>
        <v>#REF!</v>
      </c>
      <c r="D5" s="15" t="e">
        <f t="shared" si="1"/>
        <v>#REF!</v>
      </c>
      <c r="E5" s="15" t="e">
        <f>COUNTIF(#REF!,"Pass")</f>
        <v>#REF!</v>
      </c>
      <c r="F5" s="15" t="e">
        <f>COUNTIF(#REF!,"Fail")</f>
        <v>#REF!</v>
      </c>
      <c r="G5" s="15" t="e">
        <f>COUNTIF(#REF!,"Skip")</f>
        <v>#REF!</v>
      </c>
      <c r="H5" s="16" t="e">
        <f t="shared" si="2"/>
        <v>#REF!</v>
      </c>
      <c r="I5" s="17" t="e">
        <f t="shared" si="3"/>
        <v>#REF!</v>
      </c>
      <c r="J5" s="18"/>
    </row>
    <row r="6" spans="1:10" ht="17.5" x14ac:dyDescent="0.35">
      <c r="A6" s="14" t="s">
        <v>28</v>
      </c>
      <c r="B6" s="15" t="e">
        <f>COUNTIF(#REF!,"Y")</f>
        <v>#REF!</v>
      </c>
      <c r="C6" s="15" t="e">
        <f t="shared" si="0"/>
        <v>#REF!</v>
      </c>
      <c r="D6" s="15" t="e">
        <f t="shared" si="1"/>
        <v>#REF!</v>
      </c>
      <c r="E6" s="15" t="e">
        <f>COUNTIF(#REF!,"Pass")</f>
        <v>#REF!</v>
      </c>
      <c r="F6" s="15" t="e">
        <f>COUNTIF(#REF!,"Fail")</f>
        <v>#REF!</v>
      </c>
      <c r="G6" s="15" t="e">
        <f>COUNTIF(#REF!,"Skip")</f>
        <v>#REF!</v>
      </c>
      <c r="H6" s="16" t="e">
        <f t="shared" si="2"/>
        <v>#REF!</v>
      </c>
      <c r="I6" s="17" t="e">
        <f t="shared" si="3"/>
        <v>#REF!</v>
      </c>
      <c r="J6" s="18"/>
    </row>
    <row r="7" spans="1:10" ht="17.5" x14ac:dyDescent="0.35">
      <c r="A7" s="19" t="s">
        <v>50</v>
      </c>
      <c r="B7" s="15" t="e">
        <f>COUNTIF(#REF!,"Y")</f>
        <v>#REF!</v>
      </c>
      <c r="C7" s="15" t="e">
        <f t="shared" si="0"/>
        <v>#REF!</v>
      </c>
      <c r="D7" s="15" t="e">
        <f t="shared" si="1"/>
        <v>#REF!</v>
      </c>
      <c r="E7" s="15" t="e">
        <f>COUNTIF(#REF!,"Pass")</f>
        <v>#REF!</v>
      </c>
      <c r="F7" s="15" t="e">
        <f>COUNTIF(#REF!,"Fail")</f>
        <v>#REF!</v>
      </c>
      <c r="G7" s="15" t="e">
        <f>COUNTIF(#REF!,"Skip")</f>
        <v>#REF!</v>
      </c>
      <c r="H7" s="16" t="e">
        <f t="shared" si="2"/>
        <v>#REF!</v>
      </c>
      <c r="I7" s="17" t="e">
        <f t="shared" si="3"/>
        <v>#REF!</v>
      </c>
      <c r="J7" s="20"/>
    </row>
    <row r="8" spans="1:10" ht="17.5" x14ac:dyDescent="0.35">
      <c r="A8" s="19" t="s">
        <v>52</v>
      </c>
      <c r="B8" s="15" t="e">
        <f>COUNTIF(#REF!,"Y")</f>
        <v>#REF!</v>
      </c>
      <c r="C8" s="15" t="e">
        <f>SUM(E8:F8)</f>
        <v>#REF!</v>
      </c>
      <c r="D8" s="15" t="e">
        <f>G8</f>
        <v>#REF!</v>
      </c>
      <c r="E8" s="15" t="e">
        <f>COUNTIF(#REF!,"Pass")</f>
        <v>#REF!</v>
      </c>
      <c r="F8" s="15" t="e">
        <f>COUNTIF(#REF!,"Fail")</f>
        <v>#REF!</v>
      </c>
      <c r="G8" s="15" t="e">
        <f>COUNTIF(#REF!,"Skip")</f>
        <v>#REF!</v>
      </c>
      <c r="H8" s="16" t="e">
        <f>C8/MAX(B8,1)</f>
        <v>#REF!</v>
      </c>
      <c r="I8" s="17" t="e">
        <f>E8/MAX(C8,1)</f>
        <v>#REF!</v>
      </c>
      <c r="J8" s="20"/>
    </row>
    <row r="9" spans="1:10" ht="17.5" x14ac:dyDescent="0.35">
      <c r="A9" s="19" t="s">
        <v>61</v>
      </c>
      <c r="B9" s="15" t="e">
        <f>COUNTIF(#REF!,"Y")</f>
        <v>#REF!</v>
      </c>
      <c r="C9" s="15" t="e">
        <f>SUM(E9:F9)</f>
        <v>#REF!</v>
      </c>
      <c r="D9" s="15" t="e">
        <f>G9</f>
        <v>#REF!</v>
      </c>
      <c r="E9" s="15" t="e">
        <f>COUNTIF(#REF!,"Pass")</f>
        <v>#REF!</v>
      </c>
      <c r="F9" s="15" t="e">
        <f>COUNTIF(#REF!,"Fail")</f>
        <v>#REF!</v>
      </c>
      <c r="G9" s="15" t="e">
        <f>COUNTIF(#REF!,"Skip")</f>
        <v>#REF!</v>
      </c>
      <c r="H9" s="16" t="e">
        <f>C9/MAX(B9,1)</f>
        <v>#REF!</v>
      </c>
      <c r="I9" s="17" t="e">
        <f>E9/MAX(C9,1)</f>
        <v>#REF!</v>
      </c>
      <c r="J9" s="20"/>
    </row>
    <row r="10" spans="1:10" ht="17.5" x14ac:dyDescent="0.35">
      <c r="A10" s="19" t="s">
        <v>67</v>
      </c>
      <c r="B10" s="15" t="e">
        <f>COUNTIF(#REF!,"Y")</f>
        <v>#REF!</v>
      </c>
      <c r="C10" s="15" t="e">
        <f t="shared" ref="C10" si="4">SUM(E10:F10)</f>
        <v>#REF!</v>
      </c>
      <c r="D10" s="15" t="e">
        <f t="shared" ref="D10" si="5">G10</f>
        <v>#REF!</v>
      </c>
      <c r="E10" s="15" t="e">
        <f>COUNTIF(#REF!,"Pass")</f>
        <v>#REF!</v>
      </c>
      <c r="F10" s="15" t="e">
        <f>COUNTIF(#REF!,"Fail")</f>
        <v>#REF!</v>
      </c>
      <c r="G10" s="15" t="e">
        <f>COUNTIF(#REF!,"Skip")</f>
        <v>#REF!</v>
      </c>
      <c r="H10" s="16" t="e">
        <f t="shared" ref="H10" si="6">C10/MAX(B10,1)</f>
        <v>#REF!</v>
      </c>
      <c r="I10" s="17" t="e">
        <f t="shared" ref="I10" si="7">E10/MAX(C10,1)</f>
        <v>#REF!</v>
      </c>
      <c r="J10" s="20"/>
    </row>
    <row r="11" spans="1:10" ht="17.5" x14ac:dyDescent="0.35">
      <c r="A11" s="19" t="s">
        <v>51</v>
      </c>
      <c r="B11" s="15" t="e">
        <f>COUNTIF(#REF!,"Y")</f>
        <v>#REF!</v>
      </c>
      <c r="C11" s="15" t="e">
        <f t="shared" si="0"/>
        <v>#REF!</v>
      </c>
      <c r="D11" s="15" t="e">
        <f t="shared" si="1"/>
        <v>#REF!</v>
      </c>
      <c r="E11" s="15" t="e">
        <f>COUNTIF(#REF!,"Pass")</f>
        <v>#REF!</v>
      </c>
      <c r="F11" s="15" t="e">
        <f>COUNTIF(#REF!,"Fail")</f>
        <v>#REF!</v>
      </c>
      <c r="G11" s="15" t="e">
        <f>COUNTIF(#REF!,"Skip")</f>
        <v>#REF!</v>
      </c>
      <c r="H11" s="16" t="e">
        <f t="shared" si="2"/>
        <v>#REF!</v>
      </c>
      <c r="I11" s="17" t="e">
        <f t="shared" si="3"/>
        <v>#REF!</v>
      </c>
      <c r="J11" s="20"/>
    </row>
    <row r="12" spans="1:10" ht="17.5" x14ac:dyDescent="0.35">
      <c r="A12" s="19" t="s">
        <v>64</v>
      </c>
      <c r="B12" s="15" t="e">
        <f>COUNTIF(#REF!,"Y")</f>
        <v>#REF!</v>
      </c>
      <c r="C12" s="15" t="e">
        <f t="shared" ref="C12" si="8">SUM(E12:F12)</f>
        <v>#REF!</v>
      </c>
      <c r="D12" s="15" t="e">
        <f t="shared" ref="D12" si="9">G12</f>
        <v>#REF!</v>
      </c>
      <c r="E12" s="15" t="e">
        <f>COUNTIF(#REF!,"Pass")</f>
        <v>#REF!</v>
      </c>
      <c r="F12" s="15" t="e">
        <f>COUNTIF(#REF!,"Fail")</f>
        <v>#REF!</v>
      </c>
      <c r="G12" s="15" t="e">
        <f>COUNTIF(#REF!,"Skip")</f>
        <v>#REF!</v>
      </c>
      <c r="H12" s="16" t="e">
        <f t="shared" ref="H12" si="10">C12/MAX(B12,1)</f>
        <v>#REF!</v>
      </c>
      <c r="I12" s="17" t="e">
        <f t="shared" ref="I12" si="11">E12/MAX(C12,1)</f>
        <v>#REF!</v>
      </c>
      <c r="J12" s="20"/>
    </row>
    <row r="13" spans="1:10" ht="17.5" x14ac:dyDescent="0.35">
      <c r="A13" s="19" t="s">
        <v>69</v>
      </c>
      <c r="B13" s="15" t="e">
        <f>COUNTIF(#REF!,"Y")</f>
        <v>#REF!</v>
      </c>
      <c r="C13" s="15" t="e">
        <f t="shared" ref="C13" si="12">SUM(E13:F13)</f>
        <v>#REF!</v>
      </c>
      <c r="D13" s="15" t="e">
        <f t="shared" ref="D13" si="13">G13</f>
        <v>#REF!</v>
      </c>
      <c r="E13" s="15" t="e">
        <f>COUNTIF(#REF!,"Pass")</f>
        <v>#REF!</v>
      </c>
      <c r="F13" s="15" t="e">
        <f>COUNTIF(#REF!,"Fail")</f>
        <v>#REF!</v>
      </c>
      <c r="G13" s="15" t="e">
        <f>COUNTIF(#REF!,"Skip")</f>
        <v>#REF!</v>
      </c>
      <c r="H13" s="16" t="e">
        <f t="shared" ref="H13" si="14">C13/MAX(B13,1)</f>
        <v>#REF!</v>
      </c>
      <c r="I13" s="17" t="e">
        <f t="shared" ref="I13" si="15">E13/MAX(C13,1)</f>
        <v>#REF!</v>
      </c>
      <c r="J13" s="20"/>
    </row>
    <row r="14" spans="1:10" ht="18.5" thickBot="1" x14ac:dyDescent="0.4">
      <c r="A14" s="21" t="s">
        <v>48</v>
      </c>
      <c r="B14" s="22" t="e">
        <f>SUM($B$3:$B$11)</f>
        <v>#REF!</v>
      </c>
      <c r="C14" s="22" t="e">
        <f>SUM($C$3:$C$11)</f>
        <v>#REF!</v>
      </c>
      <c r="D14" s="22" t="e">
        <f>SUM($D$3:$D$11)</f>
        <v>#REF!</v>
      </c>
      <c r="E14" s="22" t="e">
        <f>SUM($E$3:$E$11)</f>
        <v>#REF!</v>
      </c>
      <c r="F14" s="22" t="e">
        <f>SUM($F$3:$F$11)</f>
        <v>#REF!</v>
      </c>
      <c r="G14" s="22" t="e">
        <f>SUM($G$3:$G$11)</f>
        <v>#REF!</v>
      </c>
      <c r="H14" s="23" t="e">
        <f>C14/MAX((C14+D14),1)</f>
        <v>#REF!</v>
      </c>
      <c r="I14" s="24" t="e">
        <f t="shared" si="3"/>
        <v>#REF!</v>
      </c>
      <c r="J14" s="25">
        <f>SUM(J3:J11)</f>
        <v>0</v>
      </c>
    </row>
    <row r="15" spans="1:10" x14ac:dyDescent="0.35">
      <c r="A15" s="8"/>
      <c r="B15" s="8"/>
      <c r="C15" s="8"/>
      <c r="D15" s="8"/>
      <c r="E15" s="8"/>
      <c r="F15" s="26"/>
      <c r="G15" s="26"/>
      <c r="H15" s="26"/>
      <c r="I15" s="26"/>
      <c r="J15" s="26"/>
    </row>
  </sheetData>
  <mergeCells count="1">
    <mergeCell ref="A1:I1"/>
  </mergeCells>
  <pageMargins left="0.7" right="0.7" top="0.75" bottom="0.75" header="0.3" footer="0.3"/>
  <pageSetup orientation="portrait" useFirstPageNumber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0"/>
  <sheetViews>
    <sheetView showGridLines="0" zoomScaleNormal="100" workbookViewId="0">
      <selection activeCell="E19" sqref="E19"/>
    </sheetView>
  </sheetViews>
  <sheetFormatPr defaultColWidth="15.1796875" defaultRowHeight="15" customHeight="1" x14ac:dyDescent="0.35"/>
  <cols>
    <col min="1" max="1" width="17.1796875" style="27" bestFit="1" customWidth="1"/>
    <col min="2" max="2" width="26.54296875" style="27" customWidth="1"/>
    <col min="3" max="3" width="11.453125" style="27" bestFit="1" customWidth="1"/>
    <col min="4" max="4" width="10.26953125" style="27" bestFit="1" customWidth="1"/>
    <col min="5" max="5" width="13.81640625" style="27" bestFit="1" customWidth="1"/>
    <col min="6" max="16384" width="15.1796875" style="27"/>
  </cols>
  <sheetData>
    <row r="1" spans="1:5" ht="15" customHeight="1" x14ac:dyDescent="0.3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</row>
    <row r="2" spans="1:5" ht="15" customHeight="1" x14ac:dyDescent="0.35">
      <c r="A2" s="29" t="s">
        <v>5</v>
      </c>
      <c r="B2" s="29" t="s">
        <v>60</v>
      </c>
      <c r="C2" s="29"/>
      <c r="D2" s="29"/>
      <c r="E2" s="30" t="s">
        <v>6</v>
      </c>
    </row>
    <row r="3" spans="1:5" ht="15" customHeight="1" x14ac:dyDescent="0.35">
      <c r="A3" s="29" t="s">
        <v>7</v>
      </c>
      <c r="B3" s="29" t="s">
        <v>8</v>
      </c>
      <c r="C3" s="29"/>
      <c r="D3" s="29"/>
      <c r="E3" s="31" t="s">
        <v>6</v>
      </c>
    </row>
    <row r="4" spans="1:5" ht="15" customHeight="1" x14ac:dyDescent="0.35">
      <c r="A4" s="29" t="s">
        <v>9</v>
      </c>
      <c r="B4" s="29" t="s">
        <v>8</v>
      </c>
      <c r="C4" s="29"/>
      <c r="D4" s="29"/>
      <c r="E4" s="32" t="s">
        <v>6</v>
      </c>
    </row>
    <row r="5" spans="1:5" ht="15" customHeight="1" x14ac:dyDescent="0.35">
      <c r="A5" s="29" t="s">
        <v>10</v>
      </c>
      <c r="B5" s="29" t="s">
        <v>8</v>
      </c>
      <c r="C5" s="29" t="s">
        <v>11</v>
      </c>
      <c r="D5" s="29" t="s">
        <v>12</v>
      </c>
      <c r="E5" s="31" t="s">
        <v>6</v>
      </c>
    </row>
    <row r="6" spans="1:5" ht="15" customHeight="1" x14ac:dyDescent="0.35">
      <c r="A6" s="29" t="s">
        <v>13</v>
      </c>
      <c r="B6" s="29" t="s">
        <v>8</v>
      </c>
      <c r="C6" s="29" t="s">
        <v>53</v>
      </c>
      <c r="D6" s="29" t="s">
        <v>54</v>
      </c>
      <c r="E6" s="31" t="s">
        <v>6</v>
      </c>
    </row>
    <row r="7" spans="1:5" ht="15" customHeight="1" x14ac:dyDescent="0.35">
      <c r="A7" s="29" t="s">
        <v>56</v>
      </c>
      <c r="B7" s="29" t="s">
        <v>8</v>
      </c>
      <c r="C7" s="29" t="s">
        <v>55</v>
      </c>
      <c r="D7" s="29" t="s">
        <v>12</v>
      </c>
      <c r="E7" s="31" t="s">
        <v>6</v>
      </c>
    </row>
    <row r="8" spans="1:5" ht="15" customHeight="1" x14ac:dyDescent="0.35">
      <c r="A8" s="29" t="s">
        <v>57</v>
      </c>
      <c r="B8" s="29" t="s">
        <v>8</v>
      </c>
      <c r="C8" s="29" t="s">
        <v>58</v>
      </c>
      <c r="D8" s="29" t="s">
        <v>59</v>
      </c>
      <c r="E8" s="31" t="s">
        <v>6</v>
      </c>
    </row>
    <row r="9" spans="1:5" ht="15" customHeight="1" x14ac:dyDescent="0.35">
      <c r="A9" s="29" t="s">
        <v>63</v>
      </c>
      <c r="B9" s="29" t="s">
        <v>8</v>
      </c>
      <c r="C9" s="29" t="s">
        <v>62</v>
      </c>
      <c r="D9" s="29" t="s">
        <v>59</v>
      </c>
      <c r="E9" s="31" t="s">
        <v>6</v>
      </c>
    </row>
    <row r="10" spans="1:5" ht="15" customHeight="1" x14ac:dyDescent="0.35">
      <c r="A10" s="29" t="s">
        <v>65</v>
      </c>
      <c r="B10" s="33" t="s">
        <v>8</v>
      </c>
      <c r="C10" s="29" t="s">
        <v>66</v>
      </c>
      <c r="D10" s="29" t="s">
        <v>59</v>
      </c>
      <c r="E10" s="31" t="s">
        <v>14</v>
      </c>
    </row>
  </sheetData>
  <hyperlinks>
    <hyperlink ref="B2" r:id="rId1" display="http://hq.ctidata.net/login" xr:uid="{A26021B8-84FC-40A0-806F-9333859343F6}"/>
  </hyperlinks>
  <pageMargins left="0.7" right="0.7" top="0.75" bottom="0.75" header="0.3" footer="0.3"/>
  <pageSetup orientation="portrait" useFirstPageNumber="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showGridLines="0" zoomScaleNormal="100" workbookViewId="0">
      <selection activeCell="D10" sqref="D10"/>
    </sheetView>
  </sheetViews>
  <sheetFormatPr defaultColWidth="15.1796875" defaultRowHeight="15" customHeight="1" x14ac:dyDescent="0.35"/>
  <cols>
    <col min="1" max="1" width="14.26953125" bestFit="1" customWidth="1"/>
    <col min="2" max="2" width="12.1796875" bestFit="1" customWidth="1"/>
  </cols>
  <sheetData>
    <row r="1" spans="1:2" ht="15" customHeight="1" x14ac:dyDescent="0.35">
      <c r="A1" s="34" t="s">
        <v>15</v>
      </c>
      <c r="B1" s="34" t="s">
        <v>16</v>
      </c>
    </row>
    <row r="2" spans="1:2" ht="15" customHeight="1" x14ac:dyDescent="0.35">
      <c r="A2" s="35" t="s">
        <v>17</v>
      </c>
      <c r="B2" s="36" t="s">
        <v>6</v>
      </c>
    </row>
    <row r="3" spans="1:2" ht="15" customHeight="1" x14ac:dyDescent="0.35">
      <c r="A3" s="33" t="s">
        <v>18</v>
      </c>
      <c r="B3" s="42" t="s">
        <v>14</v>
      </c>
    </row>
    <row r="4" spans="1:2" ht="15" customHeight="1" x14ac:dyDescent="0.35">
      <c r="A4" s="33" t="s">
        <v>19</v>
      </c>
      <c r="B4" s="36" t="s">
        <v>6</v>
      </c>
    </row>
    <row r="5" spans="1:2" ht="15" customHeight="1" x14ac:dyDescent="0.35">
      <c r="A5" s="33" t="s">
        <v>68</v>
      </c>
      <c r="B5" s="36" t="s">
        <v>6</v>
      </c>
    </row>
  </sheetData>
  <pageMargins left="0.7" right="0.7" top="0.75" bottom="0.75" header="0.3" footer="0.3"/>
  <pageSetup scale="300" orientation="landscape" useFirstPageNumber="1" horizontalDpi="2" verticalDpi="429496704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4"/>
  <sheetViews>
    <sheetView showGridLines="0" zoomScaleNormal="100" workbookViewId="0">
      <selection activeCell="F15" sqref="F15"/>
    </sheetView>
  </sheetViews>
  <sheetFormatPr defaultColWidth="15.1796875" defaultRowHeight="15" customHeight="1" x14ac:dyDescent="0.35"/>
  <cols>
    <col min="1" max="1" width="7.1796875" style="7" bestFit="1" customWidth="1"/>
    <col min="2" max="2" width="16.1796875" style="7" bestFit="1" customWidth="1"/>
    <col min="3" max="3" width="15.453125" style="7" bestFit="1" customWidth="1"/>
    <col min="4" max="4" width="13.26953125" style="7" bestFit="1" customWidth="1"/>
    <col min="5" max="5" width="15.1796875" style="7" bestFit="1"/>
    <col min="6" max="16384" width="15.1796875" style="7"/>
  </cols>
  <sheetData>
    <row r="1" spans="1:4" ht="14.5" x14ac:dyDescent="0.35">
      <c r="A1" s="38" t="s">
        <v>20</v>
      </c>
      <c r="B1" s="39" t="s">
        <v>21</v>
      </c>
      <c r="C1" s="38" t="s">
        <v>22</v>
      </c>
      <c r="D1" s="6" t="s">
        <v>16</v>
      </c>
    </row>
    <row r="2" spans="1:4" ht="15" customHeight="1" x14ac:dyDescent="0.35">
      <c r="A2" s="40" t="s">
        <v>23</v>
      </c>
      <c r="B2" s="41" t="s">
        <v>72</v>
      </c>
      <c r="C2" s="41" t="s">
        <v>71</v>
      </c>
      <c r="D2" s="42" t="s">
        <v>14</v>
      </c>
    </row>
    <row r="3" spans="1:4" ht="14.5" x14ac:dyDescent="0.35">
      <c r="A3" s="40" t="s">
        <v>25</v>
      </c>
      <c r="B3" s="40" t="s">
        <v>24</v>
      </c>
      <c r="C3" s="40" t="s">
        <v>80</v>
      </c>
      <c r="D3" s="42" t="s">
        <v>14</v>
      </c>
    </row>
    <row r="4" spans="1:4" ht="14.5" x14ac:dyDescent="0.35">
      <c r="A4" s="40" t="s">
        <v>27</v>
      </c>
      <c r="B4" s="41" t="s">
        <v>26</v>
      </c>
      <c r="C4" s="41" t="s">
        <v>26</v>
      </c>
      <c r="D4" s="37" t="s">
        <v>6</v>
      </c>
    </row>
  </sheetData>
  <autoFilter ref="A1:D4" xr:uid="{00000000-0009-0000-0000-000003000000}"/>
  <conditionalFormatting sqref="D1">
    <cfRule type="cellIs" dxfId="0" priority="1" stopIfTrue="1" operator="equal">
      <formula>"Y"</formula>
    </cfRule>
  </conditionalFormatting>
  <pageMargins left="0.7" right="0.7" top="0.75" bottom="0.75" header="0.3" footer="0.3"/>
  <pageSetup orientation="portrait" useFirstPageNumber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H5"/>
  <sheetViews>
    <sheetView showGridLines="0" zoomScaleNormal="100" workbookViewId="0">
      <pane ySplit="1" topLeftCell="A2" activePane="bottomLeft" state="frozen"/>
      <selection pane="bottomLeft" sqref="A1:XFD2"/>
    </sheetView>
  </sheetViews>
  <sheetFormatPr defaultColWidth="8.7265625" defaultRowHeight="14.5" customHeight="1" x14ac:dyDescent="0.35"/>
  <cols>
    <col min="1" max="1" width="6.81640625" style="4" customWidth="1"/>
    <col min="2" max="2" width="30.81640625" style="4" customWidth="1"/>
    <col min="3" max="3" width="24.54296875" style="4" customWidth="1"/>
    <col min="4" max="4" width="43.453125" style="4" bestFit="1" customWidth="1"/>
    <col min="5" max="5" width="4.1796875" style="4" bestFit="1" customWidth="1"/>
    <col min="6" max="6" width="8.81640625" style="4" bestFit="1" customWidth="1"/>
    <col min="7" max="7" width="44.81640625" style="4" customWidth="1"/>
    <col min="8" max="8" width="20.1796875" style="5" bestFit="1" customWidth="1"/>
    <col min="9" max="16384" width="8.7265625" style="2"/>
  </cols>
  <sheetData>
    <row r="1" spans="1:8" ht="37.5" customHeight="1" x14ac:dyDescent="0.35">
      <c r="A1" s="1" t="s">
        <v>30</v>
      </c>
      <c r="B1" s="1" t="s">
        <v>31</v>
      </c>
      <c r="C1" s="1" t="s">
        <v>21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ht="72.5" x14ac:dyDescent="0.35">
      <c r="A2" s="3">
        <v>1</v>
      </c>
      <c r="B2" s="3" t="s">
        <v>70</v>
      </c>
      <c r="C2" s="3" t="s">
        <v>76</v>
      </c>
      <c r="D2" s="3" t="s">
        <v>77</v>
      </c>
      <c r="E2" s="3" t="s">
        <v>14</v>
      </c>
      <c r="F2" s="3"/>
      <c r="G2" s="3"/>
      <c r="H2" s="3"/>
    </row>
    <row r="3" spans="1:8" ht="43.5" x14ac:dyDescent="0.35">
      <c r="A3" s="3">
        <v>2</v>
      </c>
      <c r="B3" s="3" t="s">
        <v>78</v>
      </c>
      <c r="C3" s="3" t="s">
        <v>37</v>
      </c>
      <c r="D3" s="3" t="s">
        <v>38</v>
      </c>
      <c r="E3" s="3" t="s">
        <v>14</v>
      </c>
      <c r="F3" s="3"/>
      <c r="G3" s="3"/>
      <c r="H3" s="3"/>
    </row>
    <row r="4" spans="1:8" x14ac:dyDescent="0.35">
      <c r="A4" s="3">
        <v>3</v>
      </c>
      <c r="B4" s="3" t="s">
        <v>79</v>
      </c>
      <c r="C4" s="3"/>
      <c r="D4" s="3"/>
      <c r="E4" s="3" t="s">
        <v>14</v>
      </c>
      <c r="F4" s="3"/>
      <c r="G4" s="3"/>
      <c r="H4" s="3"/>
    </row>
    <row r="5" spans="1:8" x14ac:dyDescent="0.35">
      <c r="A5" s="3">
        <v>3</v>
      </c>
      <c r="B5" s="43" t="s">
        <v>73</v>
      </c>
      <c r="C5" s="3" t="s">
        <v>74</v>
      </c>
      <c r="D5" s="3" t="s">
        <v>75</v>
      </c>
      <c r="E5" s="3" t="s">
        <v>14</v>
      </c>
      <c r="F5" s="3"/>
      <c r="G5" s="3"/>
      <c r="H5" s="3"/>
    </row>
  </sheetData>
  <autoFilter ref="A1:H5" xr:uid="{00000000-0009-0000-0000-000004000000}"/>
  <pageMargins left="0.7" right="0.7" top="0.75" bottom="0.75" header="0.3" footer="0.3"/>
  <pageSetup orientation="portrait" useFirstPageNumber="1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028B6-25B5-451E-ACFD-051270E109E0}">
  <dimension ref="A1:H2"/>
  <sheetViews>
    <sheetView tabSelected="1" workbookViewId="0">
      <selection activeCell="G7" sqref="G7"/>
    </sheetView>
  </sheetViews>
  <sheetFormatPr defaultRowHeight="14.5" x14ac:dyDescent="0.35"/>
  <cols>
    <col min="2" max="2" width="17.26953125" customWidth="1"/>
    <col min="3" max="3" width="21.36328125" customWidth="1"/>
    <col min="4" max="4" width="31.1796875" customWidth="1"/>
  </cols>
  <sheetData>
    <row r="1" spans="1:8" s="2" customFormat="1" ht="37.5" customHeight="1" x14ac:dyDescent="0.35">
      <c r="A1" s="1" t="s">
        <v>30</v>
      </c>
      <c r="B1" s="1" t="s">
        <v>31</v>
      </c>
      <c r="C1" s="1" t="s">
        <v>21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s="2" customFormat="1" ht="87" x14ac:dyDescent="0.35">
      <c r="A2" s="3">
        <v>1</v>
      </c>
      <c r="B2" s="3" t="s">
        <v>81</v>
      </c>
      <c r="C2" s="3" t="s">
        <v>76</v>
      </c>
      <c r="D2" s="3" t="s">
        <v>77</v>
      </c>
      <c r="E2" s="3" t="s">
        <v>14</v>
      </c>
      <c r="F2" s="3"/>
      <c r="G2" s="3"/>
      <c r="H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Execution Summary</vt:lpstr>
      <vt:lpstr>Environment</vt:lpstr>
      <vt:lpstr>Browser</vt:lpstr>
      <vt:lpstr>Module</vt:lpstr>
      <vt:lpstr>HomePage</vt:lpstr>
      <vt:lpstr>JobApplication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Patel</dc:creator>
  <cp:lastModifiedBy>Tejas Patel</cp:lastModifiedBy>
  <cp:lastPrinted>2017-08-09T18:39:08Z</cp:lastPrinted>
  <dcterms:created xsi:type="dcterms:W3CDTF">2017-07-12T20:36:13Z</dcterms:created>
  <dcterms:modified xsi:type="dcterms:W3CDTF">2017-12-27T05:42:43Z</dcterms:modified>
</cp:coreProperties>
</file>